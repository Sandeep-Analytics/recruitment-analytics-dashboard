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AAC6DAD6-75E0-4410-80E0-80ED7AC5E9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ruitment_Data" sheetId="8" r:id="rId1"/>
  </sheets>
  <definedNames>
    <definedName name="_xlcn.WorksheetConnection_whatisvlookup.xlsxRecruitment_Data1" hidden="1">Recruitment_Data[]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cruitment_Data" name="Recruitment_Data" connection="WorksheetConnection_what-is-vlookup.xlsx!Recruitment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8" l="1"/>
  <c r="N11" i="8"/>
  <c r="N10" i="8"/>
  <c r="N9" i="8"/>
  <c r="N8" i="8"/>
  <c r="N7" i="8"/>
  <c r="N6" i="8"/>
  <c r="N5" i="8"/>
  <c r="N4" i="8"/>
  <c r="N3" i="8"/>
  <c r="M3" i="8"/>
  <c r="M4" i="8"/>
  <c r="M5" i="8"/>
  <c r="M6" i="8"/>
  <c r="M7" i="8"/>
  <c r="M8" i="8"/>
  <c r="M9" i="8"/>
  <c r="M10" i="8"/>
  <c r="M11" i="8"/>
  <c r="M12" i="8"/>
  <c r="L3" i="8"/>
  <c r="L4" i="8"/>
  <c r="L5" i="8"/>
  <c r="L6" i="8"/>
  <c r="L7" i="8"/>
  <c r="L8" i="8"/>
  <c r="L9" i="8"/>
  <c r="L10" i="8"/>
  <c r="L11" i="8"/>
  <c r="L1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42B64-9C2E-424C-98D2-F131C7606F77}" name="WorksheetConnection_what-is-vlookup.xlsx!Recruitment_Data" type="102" refreshedVersion="7" minRefreshableVersion="5">
    <extLst>
      <ext xmlns:x15="http://schemas.microsoft.com/office/spreadsheetml/2010/11/main" uri="{DE250136-89BD-433C-8126-D09CA5730AF9}">
        <x15:connection id="Recruitment_Data" autoDelete="1">
          <x15:rangePr sourceName="_xlcn.WorksheetConnection_whatisvlookup.xlsxRecruitment_Data1"/>
        </x15:connection>
      </ext>
    </extLst>
  </connection>
</connections>
</file>

<file path=xl/sharedStrings.xml><?xml version="1.0" encoding="utf-8"?>
<sst xmlns="http://schemas.openxmlformats.org/spreadsheetml/2006/main" count="74" uniqueCount="46">
  <si>
    <t>John</t>
  </si>
  <si>
    <t>Recruiter</t>
  </si>
  <si>
    <t>Priya</t>
  </si>
  <si>
    <t>Rahul</t>
  </si>
  <si>
    <t>Candidate ID</t>
  </si>
  <si>
    <t>Name</t>
  </si>
  <si>
    <t>Role</t>
  </si>
  <si>
    <t>Source</t>
  </si>
  <si>
    <t>Applied Date</t>
  </si>
  <si>
    <t>Interview Date</t>
  </si>
  <si>
    <t>Offer Date</t>
  </si>
  <si>
    <t>Joining Date</t>
  </si>
  <si>
    <t>Status</t>
  </si>
  <si>
    <t>Salary</t>
  </si>
  <si>
    <t>Time to Hire</t>
  </si>
  <si>
    <t>Joined Flag</t>
  </si>
  <si>
    <t>Offered Flag</t>
  </si>
  <si>
    <t>C001</t>
  </si>
  <si>
    <t>Ravi</t>
  </si>
  <si>
    <t>Analyst</t>
  </si>
  <si>
    <t>LinkedIn</t>
  </si>
  <si>
    <t>Joined</t>
  </si>
  <si>
    <t>C002</t>
  </si>
  <si>
    <t>Anil</t>
  </si>
  <si>
    <t>Developer</t>
  </si>
  <si>
    <t>Referral</t>
  </si>
  <si>
    <t>Rejected</t>
  </si>
  <si>
    <t>C003</t>
  </si>
  <si>
    <t>Sita</t>
  </si>
  <si>
    <t>HR</t>
  </si>
  <si>
    <t>Naukri</t>
  </si>
  <si>
    <t>C004</t>
  </si>
  <si>
    <t>Kiran</t>
  </si>
  <si>
    <t>C005</t>
  </si>
  <si>
    <t>Meena</t>
  </si>
  <si>
    <t>C006</t>
  </si>
  <si>
    <t>Arjun</t>
  </si>
  <si>
    <t>Offered</t>
  </si>
  <si>
    <t>C007</t>
  </si>
  <si>
    <t>Pooja</t>
  </si>
  <si>
    <t>C008</t>
  </si>
  <si>
    <t>Vikram</t>
  </si>
  <si>
    <t>C009</t>
  </si>
  <si>
    <t>Neha</t>
  </si>
  <si>
    <t>C010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</si>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</sst>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16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A2DBA4-C44F-4161-86DA-EFF83170F65A}" name="Recruitment_Data" displayName="Recruitment_Data" ref="A2:N12" totalsRowShown="0" headerRowDxfId="15" dataDxfId="14">
  <autoFilter ref="A2:N12" xr:uid="{3AA2DBA4-C44F-4161-86DA-EFF83170F65A}"/>
  <tableColumns count="14">
    <tableColumn id="1" xr3:uid="{39CC3F59-F634-44F4-93B2-03F3E93D9A7D}" name="Candidate ID" dataDxfId="13"/>
    <tableColumn id="2" xr3:uid="{66EE636E-2DB5-4780-A59B-82CBF1516072}" name="Name" dataDxfId="12"/>
    <tableColumn id="3" xr3:uid="{616ED24A-67AC-49CF-94EB-758490930618}" name="Role" dataDxfId="11"/>
    <tableColumn id="4" xr3:uid="{CB3C4CF6-F3F6-436C-A012-5B28F57518DB}" name="Source" dataDxfId="10"/>
    <tableColumn id="5" xr3:uid="{484F51C5-FE6D-4B8A-90C1-DB3AF5AB1BBB}" name="Applied Date" dataDxfId="9"/>
    <tableColumn id="6" xr3:uid="{C4F82FF0-54CA-45E0-9979-8BC0C281BB55}" name="Interview Date" dataDxfId="8"/>
    <tableColumn id="7" xr3:uid="{B92DA0AE-95B0-48AC-B7DC-9C5ED587DEF5}" name="Offer Date" dataDxfId="7"/>
    <tableColumn id="8" xr3:uid="{B7F9EC9C-A28B-479B-B5A5-90E8CCF74F44}" name="Joining Date" dataDxfId="6"/>
    <tableColumn id="9" xr3:uid="{03898E84-8C73-4152-B925-E95FF9DACDC2}" name="Status" dataDxfId="5"/>
    <tableColumn id="10" xr3:uid="{8C6C6A35-980B-4CE4-A764-242890901A9F}" name="Recruiter" dataDxfId="4"/>
    <tableColumn id="11" xr3:uid="{0DC30443-192E-44DE-9C6C-C9F9968D4E41}" name="Salary" dataDxfId="3"/>
    <tableColumn id="12" xr3:uid="{49A11AA7-2FF9-498E-A273-358FA63CA2C1}" name="Time to Hire" dataDxfId="2">
      <calculatedColumnFormula>IF(ISBLANK(Recruitment_Data[[#This Row],[Joining Date]]),"",DATEDIF(Recruitment_Data[[#This Row],[Applied Date]],Recruitment_Data[[#This Row],[Joining Date]],"D"))</calculatedColumnFormula>
    </tableColumn>
    <tableColumn id="13" xr3:uid="{39A8F1DD-D363-4DBB-B6AE-4CF3C2B2615E}" name="Joined Flag" dataDxfId="1">
      <calculatedColumnFormula>IF(Recruitment_Data[[#This Row],[Status]]="Joined",1,0)</calculatedColumnFormula>
    </tableColumn>
    <tableColumn id="14" xr3:uid="{5284A193-9C16-422A-A8B7-8F96B696A6EA}" name="Offered Flag" dataDxfId="0">
      <calculatedColumnFormula>IF(Recruitment_Data[[#This Row],[Status]]="Offered",1,0)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B70E-EC3A-40B2-B186-4B2C0216CF13}">
  <dimension ref="A2:N12"/>
  <sheetViews>
    <sheetView tabSelected="1" workbookViewId="0">
      <selection activeCell="B15" sqref="B15"/>
    </sheetView>
  </sheetViews>
  <sheetFormatPr defaultRowHeight="15" x14ac:dyDescent="0.25"/>
  <cols>
    <col min="1" max="1" width="14.42578125" customWidth="1"/>
    <col min="3" max="3" width="12.140625" customWidth="1"/>
    <col min="5" max="5" width="14.7109375" customWidth="1"/>
    <col min="6" max="6" width="16.28515625" customWidth="1"/>
    <col min="7" max="7" width="12.42578125" customWidth="1"/>
    <col min="8" max="8" width="14" customWidth="1"/>
    <col min="10" max="10" width="11.28515625" customWidth="1"/>
    <col min="12" max="12" width="17" customWidth="1"/>
    <col min="13" max="13" width="16.140625" customWidth="1"/>
    <col min="14" max="14" width="11" customWidth="1"/>
  </cols>
  <sheetData>
    <row r="2" spans="1:14" ht="30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</v>
      </c>
      <c r="K2" s="1" t="s">
        <v>13</v>
      </c>
      <c r="L2" s="1" t="s">
        <v>14</v>
      </c>
      <c r="M2" s="1" t="s">
        <v>15</v>
      </c>
      <c r="N2" s="1" t="s">
        <v>16</v>
      </c>
    </row>
    <row r="3" spans="1:14" x14ac:dyDescent="0.25">
      <c r="A3" s="2" t="s">
        <v>17</v>
      </c>
      <c r="B3" s="2" t="s">
        <v>18</v>
      </c>
      <c r="C3" s="2" t="s">
        <v>19</v>
      </c>
      <c r="D3" s="2" t="s">
        <v>20</v>
      </c>
      <c r="E3" s="3">
        <v>46023</v>
      </c>
      <c r="F3" s="3">
        <v>46027</v>
      </c>
      <c r="G3" s="3">
        <v>46032</v>
      </c>
      <c r="H3" s="3">
        <v>46042</v>
      </c>
      <c r="I3" s="2" t="s">
        <v>21</v>
      </c>
      <c r="J3" s="2" t="s">
        <v>2</v>
      </c>
      <c r="K3" s="2">
        <v>500000</v>
      </c>
      <c r="L3" s="2">
        <f>IF(ISBLANK(Recruitment_Data[[#This Row],[Joining Date]]),"",DATEDIF(Recruitment_Data[[#This Row],[Applied Date]],Recruitment_Data[[#This Row],[Joining Date]],"D"))</f>
        <v>19</v>
      </c>
      <c r="M3" s="2">
        <f>IF(Recruitment_Data[[#This Row],[Status]]="Joined",1,0)</f>
        <v>1</v>
      </c>
      <c r="N3" s="2">
        <f>IF(Recruitment_Data[[#This Row],[Status]]="Offered",1,0)</f>
        <v>0</v>
      </c>
    </row>
    <row r="4" spans="1:14" x14ac:dyDescent="0.25">
      <c r="A4" s="2" t="s">
        <v>22</v>
      </c>
      <c r="B4" s="2" t="s">
        <v>23</v>
      </c>
      <c r="C4" s="2" t="s">
        <v>24</v>
      </c>
      <c r="D4" s="2" t="s">
        <v>25</v>
      </c>
      <c r="E4" s="3">
        <v>46025</v>
      </c>
      <c r="F4" s="3">
        <v>46029</v>
      </c>
      <c r="G4" s="2"/>
      <c r="H4" s="2"/>
      <c r="I4" s="2" t="s">
        <v>26</v>
      </c>
      <c r="J4" s="2" t="s">
        <v>0</v>
      </c>
      <c r="K4" s="2"/>
      <c r="L4" s="2" t="str">
        <f>IF(ISBLANK(Recruitment_Data[[#This Row],[Joining Date]]),"",DATEDIF(Recruitment_Data[[#This Row],[Applied Date]],Recruitment_Data[[#This Row],[Joining Date]],"D"))</f>
        <v/>
      </c>
      <c r="M4" s="2">
        <f>IF(Recruitment_Data[[#This Row],[Status]]="Joined",1,0)</f>
        <v>0</v>
      </c>
      <c r="N4" s="2">
        <f>IF(Recruitment_Data[[#This Row],[Status]]="Offered",1,0)</f>
        <v>0</v>
      </c>
    </row>
    <row r="5" spans="1:14" x14ac:dyDescent="0.25">
      <c r="A5" s="2" t="s">
        <v>27</v>
      </c>
      <c r="B5" s="2" t="s">
        <v>28</v>
      </c>
      <c r="C5" s="2" t="s">
        <v>29</v>
      </c>
      <c r="D5" s="2" t="s">
        <v>30</v>
      </c>
      <c r="E5" s="3">
        <v>46026</v>
      </c>
      <c r="F5" s="3">
        <v>46030</v>
      </c>
      <c r="G5" s="3">
        <v>46034</v>
      </c>
      <c r="H5" s="3">
        <v>46047</v>
      </c>
      <c r="I5" s="2" t="s">
        <v>21</v>
      </c>
      <c r="J5" s="2" t="s">
        <v>2</v>
      </c>
      <c r="K5" s="2">
        <v>400000</v>
      </c>
      <c r="L5" s="2">
        <f>IF(ISBLANK(Recruitment_Data[[#This Row],[Joining Date]]),"",DATEDIF(Recruitment_Data[[#This Row],[Applied Date]],Recruitment_Data[[#This Row],[Joining Date]],"D"))</f>
        <v>21</v>
      </c>
      <c r="M5" s="2">
        <f>IF(Recruitment_Data[[#This Row],[Status]]="Joined",1,0)</f>
        <v>1</v>
      </c>
      <c r="N5" s="2">
        <f>IF(Recruitment_Data[[#This Row],[Status]]="Offered",1,0)</f>
        <v>0</v>
      </c>
    </row>
    <row r="6" spans="1:14" x14ac:dyDescent="0.25">
      <c r="A6" s="2" t="s">
        <v>31</v>
      </c>
      <c r="B6" s="2" t="s">
        <v>32</v>
      </c>
      <c r="C6" s="2" t="s">
        <v>19</v>
      </c>
      <c r="D6" s="2" t="s">
        <v>20</v>
      </c>
      <c r="E6" s="3">
        <v>46028</v>
      </c>
      <c r="F6" s="3">
        <v>46032</v>
      </c>
      <c r="G6" s="2"/>
      <c r="H6" s="2"/>
      <c r="I6" s="2" t="s">
        <v>26</v>
      </c>
      <c r="J6" s="2" t="s">
        <v>3</v>
      </c>
      <c r="K6" s="2"/>
      <c r="L6" s="2" t="str">
        <f>IF(ISBLANK(Recruitment_Data[[#This Row],[Joining Date]]),"",DATEDIF(Recruitment_Data[[#This Row],[Applied Date]],Recruitment_Data[[#This Row],[Joining Date]],"D"))</f>
        <v/>
      </c>
      <c r="M6" s="2">
        <f>IF(Recruitment_Data[[#This Row],[Status]]="Joined",1,0)</f>
        <v>0</v>
      </c>
      <c r="N6" s="2">
        <f>IF(Recruitment_Data[[#This Row],[Status]]="Offered",1,0)</f>
        <v>0</v>
      </c>
    </row>
    <row r="7" spans="1:14" x14ac:dyDescent="0.25">
      <c r="A7" s="2" t="s">
        <v>33</v>
      </c>
      <c r="B7" s="2" t="s">
        <v>34</v>
      </c>
      <c r="C7" s="2" t="s">
        <v>24</v>
      </c>
      <c r="D7" s="2" t="s">
        <v>25</v>
      </c>
      <c r="E7" s="3">
        <v>46030</v>
      </c>
      <c r="F7" s="3">
        <v>46034</v>
      </c>
      <c r="G7" s="3">
        <v>46037</v>
      </c>
      <c r="H7" s="3">
        <v>46052</v>
      </c>
      <c r="I7" s="2" t="s">
        <v>21</v>
      </c>
      <c r="J7" s="2" t="s">
        <v>0</v>
      </c>
      <c r="K7" s="2">
        <v>600000</v>
      </c>
      <c r="L7" s="2">
        <f>IF(ISBLANK(Recruitment_Data[[#This Row],[Joining Date]]),"",DATEDIF(Recruitment_Data[[#This Row],[Applied Date]],Recruitment_Data[[#This Row],[Joining Date]],"D"))</f>
        <v>22</v>
      </c>
      <c r="M7" s="2">
        <f>IF(Recruitment_Data[[#This Row],[Status]]="Joined",1,0)</f>
        <v>1</v>
      </c>
      <c r="N7" s="2">
        <f>IF(Recruitment_Data[[#This Row],[Status]]="Offered",1,0)</f>
        <v>0</v>
      </c>
    </row>
    <row r="8" spans="1:14" x14ac:dyDescent="0.25">
      <c r="A8" s="2" t="s">
        <v>35</v>
      </c>
      <c r="B8" s="2" t="s">
        <v>36</v>
      </c>
      <c r="C8" s="2" t="s">
        <v>19</v>
      </c>
      <c r="D8" s="2" t="s">
        <v>30</v>
      </c>
      <c r="E8" s="3">
        <v>46032</v>
      </c>
      <c r="F8" s="3">
        <v>46037</v>
      </c>
      <c r="G8" s="3">
        <v>46040</v>
      </c>
      <c r="H8" s="2"/>
      <c r="I8" s="2" t="s">
        <v>37</v>
      </c>
      <c r="J8" s="2" t="s">
        <v>3</v>
      </c>
      <c r="K8" s="2">
        <v>450000</v>
      </c>
      <c r="L8" s="2" t="str">
        <f>IF(ISBLANK(Recruitment_Data[[#This Row],[Joining Date]]),"",DATEDIF(Recruitment_Data[[#This Row],[Applied Date]],Recruitment_Data[[#This Row],[Joining Date]],"D"))</f>
        <v/>
      </c>
      <c r="M8" s="2">
        <f>IF(Recruitment_Data[[#This Row],[Status]]="Joined",1,0)</f>
        <v>0</v>
      </c>
      <c r="N8" s="2">
        <f>IF(Recruitment_Data[[#This Row],[Status]]="Offered",1,0)</f>
        <v>1</v>
      </c>
    </row>
    <row r="9" spans="1:14" x14ac:dyDescent="0.25">
      <c r="A9" s="2" t="s">
        <v>38</v>
      </c>
      <c r="B9" s="2" t="s">
        <v>39</v>
      </c>
      <c r="C9" s="2" t="s">
        <v>29</v>
      </c>
      <c r="D9" s="2" t="s">
        <v>20</v>
      </c>
      <c r="E9" s="3">
        <v>46034</v>
      </c>
      <c r="F9" s="3">
        <v>46038</v>
      </c>
      <c r="G9" s="2"/>
      <c r="H9" s="2"/>
      <c r="I9" s="2" t="s">
        <v>26</v>
      </c>
      <c r="J9" s="2" t="s">
        <v>2</v>
      </c>
      <c r="K9" s="2"/>
      <c r="L9" s="2" t="str">
        <f>IF(ISBLANK(Recruitment_Data[[#This Row],[Joining Date]]),"",DATEDIF(Recruitment_Data[[#This Row],[Applied Date]],Recruitment_Data[[#This Row],[Joining Date]],"D"))</f>
        <v/>
      </c>
      <c r="M9" s="2">
        <f>IF(Recruitment_Data[[#This Row],[Status]]="Joined",1,0)</f>
        <v>0</v>
      </c>
      <c r="N9" s="2">
        <f>IF(Recruitment_Data[[#This Row],[Status]]="Offered",1,0)</f>
        <v>0</v>
      </c>
    </row>
    <row r="10" spans="1:14" x14ac:dyDescent="0.25">
      <c r="A10" s="2" t="s">
        <v>40</v>
      </c>
      <c r="B10" s="2" t="s">
        <v>41</v>
      </c>
      <c r="C10" s="2" t="s">
        <v>24</v>
      </c>
      <c r="D10" s="2" t="s">
        <v>25</v>
      </c>
      <c r="E10" s="3">
        <v>46037</v>
      </c>
      <c r="F10" s="3">
        <v>46042</v>
      </c>
      <c r="G10" s="3">
        <v>46047</v>
      </c>
      <c r="H10" s="3">
        <v>46058</v>
      </c>
      <c r="I10" s="2" t="s">
        <v>21</v>
      </c>
      <c r="J10" s="2" t="s">
        <v>0</v>
      </c>
      <c r="K10" s="2">
        <v>650000</v>
      </c>
      <c r="L10" s="2">
        <f>IF(ISBLANK(Recruitment_Data[[#This Row],[Joining Date]]),"",DATEDIF(Recruitment_Data[[#This Row],[Applied Date]],Recruitment_Data[[#This Row],[Joining Date]],"D"))</f>
        <v>21</v>
      </c>
      <c r="M10" s="2">
        <f>IF(Recruitment_Data[[#This Row],[Status]]="Joined",1,0)</f>
        <v>1</v>
      </c>
      <c r="N10" s="2">
        <f>IF(Recruitment_Data[[#This Row],[Status]]="Offered",1,0)</f>
        <v>0</v>
      </c>
    </row>
    <row r="11" spans="1:14" x14ac:dyDescent="0.25">
      <c r="A11" s="2" t="s">
        <v>42</v>
      </c>
      <c r="B11" s="2" t="s">
        <v>43</v>
      </c>
      <c r="C11" s="2" t="s">
        <v>19</v>
      </c>
      <c r="D11" s="2" t="s">
        <v>30</v>
      </c>
      <c r="E11" s="3">
        <v>46040</v>
      </c>
      <c r="F11" s="3">
        <v>46044</v>
      </c>
      <c r="G11" s="2"/>
      <c r="H11" s="2"/>
      <c r="I11" s="2" t="s">
        <v>26</v>
      </c>
      <c r="J11" s="2" t="s">
        <v>3</v>
      </c>
      <c r="K11" s="2"/>
      <c r="L11" s="2" t="str">
        <f>IF(ISBLANK(Recruitment_Data[[#This Row],[Joining Date]]),"",DATEDIF(Recruitment_Data[[#This Row],[Applied Date]],Recruitment_Data[[#This Row],[Joining Date]],"D"))</f>
        <v/>
      </c>
      <c r="M11" s="2">
        <f>IF(Recruitment_Data[[#This Row],[Status]]="Joined",1,0)</f>
        <v>0</v>
      </c>
      <c r="N11" s="2">
        <f>IF(Recruitment_Data[[#This Row],[Status]]="Offered",1,0)</f>
        <v>0</v>
      </c>
    </row>
    <row r="12" spans="1:14" x14ac:dyDescent="0.25">
      <c r="A12" s="2" t="s">
        <v>44</v>
      </c>
      <c r="B12" s="2" t="s">
        <v>45</v>
      </c>
      <c r="C12" s="2" t="s">
        <v>24</v>
      </c>
      <c r="D12" s="2" t="s">
        <v>20</v>
      </c>
      <c r="E12" s="3">
        <v>46042</v>
      </c>
      <c r="F12" s="3">
        <v>46047</v>
      </c>
      <c r="G12" s="3">
        <v>46050</v>
      </c>
      <c r="H12" s="3">
        <v>46063</v>
      </c>
      <c r="I12" s="2" t="s">
        <v>21</v>
      </c>
      <c r="J12" s="2" t="s">
        <v>2</v>
      </c>
      <c r="K12" s="2">
        <v>700000</v>
      </c>
      <c r="L12" s="2">
        <f>IF(ISBLANK(Recruitment_Data[[#This Row],[Joining Date]]),"",DATEDIF(Recruitment_Data[[#This Row],[Applied Date]],Recruitment_Data[[#This Row],[Joining Date]],"D"))</f>
        <v>21</v>
      </c>
      <c r="M12" s="2">
        <f>IF(Recruitment_Data[[#This Row],[Status]]="Joined",1,0)</f>
        <v>1</v>
      </c>
      <c r="N12" s="2">
        <f>IF(Recruitment_Data[[#This Row],[Status]]="Offered",1,0)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Derry Hill</dc:creator>
  <cp:keywords/>
  <dc:description/>
  <cp:lastModifiedBy>Sandeep</cp:lastModifiedBy>
  <cp:revision/>
  <dcterms:created xsi:type="dcterms:W3CDTF">2017-05-18T22:37:17Z</dcterms:created>
  <dcterms:modified xsi:type="dcterms:W3CDTF">2026-03-24T09:04:08Z</dcterms:modified>
  <cp:category/>
  <cp:contentStatus/>
</cp:coreProperties>
</file>